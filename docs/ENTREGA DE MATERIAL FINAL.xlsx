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USER BOM GOSTO\Desktop\ESCRITORIO\2025\CAMARA\GRAFICA RENOVADO\"/>
    </mc:Choice>
  </mc:AlternateContent>
  <xr:revisionPtr revIDLastSave="0" documentId="13_ncr:1_{D7EDEF71-D282-4A68-BEF8-90AB193F82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3" i="1"/>
  <c r="G50" i="1"/>
  <c r="G46" i="1"/>
  <c r="G42" i="1"/>
  <c r="G38" i="1"/>
  <c r="G34" i="1"/>
  <c r="G30" i="1"/>
  <c r="G26" i="1"/>
  <c r="G22" i="1"/>
  <c r="G18" i="1"/>
  <c r="G14" i="1"/>
  <c r="G10" i="1"/>
  <c r="G6" i="1"/>
  <c r="G49" i="1"/>
  <c r="G48" i="1"/>
  <c r="G47" i="1"/>
  <c r="G45" i="1"/>
  <c r="G44" i="1"/>
  <c r="G43" i="1"/>
  <c r="G41" i="1"/>
  <c r="G40" i="1"/>
  <c r="G39" i="1"/>
  <c r="G37" i="1"/>
  <c r="G36" i="1"/>
  <c r="G35" i="1"/>
  <c r="G33" i="1"/>
  <c r="G32" i="1"/>
  <c r="G31" i="1"/>
  <c r="G29" i="1"/>
  <c r="G28" i="1"/>
  <c r="G27" i="1"/>
  <c r="G25" i="1"/>
  <c r="G24" i="1"/>
  <c r="G23" i="1"/>
  <c r="G21" i="1"/>
  <c r="G20" i="1"/>
  <c r="G19" i="1"/>
  <c r="G17" i="1"/>
  <c r="G16" i="1"/>
  <c r="G15" i="1"/>
  <c r="G13" i="1"/>
  <c r="G12" i="1"/>
  <c r="G11" i="1"/>
  <c r="G9" i="1"/>
  <c r="G8" i="1"/>
  <c r="G7" i="1"/>
  <c r="G5" i="1"/>
  <c r="G4" i="1"/>
  <c r="G3" i="1"/>
  <c r="I51" i="1" l="1"/>
  <c r="F51" i="1"/>
</calcChain>
</file>

<file path=xl/sharedStrings.xml><?xml version="1.0" encoding="utf-8"?>
<sst xmlns="http://schemas.openxmlformats.org/spreadsheetml/2006/main" count="106" uniqueCount="58">
  <si>
    <t>ITEM</t>
  </si>
  <si>
    <t>DESCRIÇÃO</t>
  </si>
  <si>
    <t xml:space="preserve">UNIDADE </t>
  </si>
  <si>
    <t>QUANT.</t>
  </si>
  <si>
    <t>VALOR UNITARIO</t>
  </si>
  <si>
    <t>VALOR TOTAL</t>
  </si>
  <si>
    <t>ALMOFADA PARA CARIMBOS AUTOMÁTICOS, TAMANHO 3,8X1,4.</t>
  </si>
  <si>
    <t>ALMOFADA PARA CARIMBOS AUTOMÁTICOS, TAMANHO 4X6,5.</t>
  </si>
  <si>
    <t>ALMOFADA PARA CARIMBOS AUTOMÁTICOS, TAMANHO 6,4X4,0.</t>
  </si>
  <si>
    <t>ALMOFADA PARA CARIMBOS AUTOMÁTICOS, TAMANHO 7,6X3,8.</t>
  </si>
  <si>
    <t>AGENDA PERMANENTE TIMBRADA FORMATO15X21, CAPA / CONTRA CAPA; CAPA DURA, IMPRESÃO 4X0 MIOLO - 200 FOLHAS EM SULFITE 75 GRS, 1X1 ACABAMENTO COM AIRÓ COM LOGO DA CÂMARA MUNICIPAL DE LUIS EDUARDO MAGALHÃES.</t>
  </si>
  <si>
    <t>BLOCO DE ANOTAÇÕES, TIMBRADO 100X1, COM LOGO DA CÂMARA MUNICIPAL DE LUÍS EDUARDO MAGALHÃES, FORMATO 14,5X11, IMPRESSÃO 4X0 PAPEL SULFITE 75 GRS, COLADO NA CABEÇA E GRAMPEADO.</t>
  </si>
  <si>
    <t>BLOCO DE ANOTAÇÕES, TIMBRADO 100X1, COM LOGO DA CÂMARA MUNICIPAL DE LUÍS EDUARDO MAGALHÃES, FORMATO 21X15, IMPRESSÃO 4X0 PAPEL SULFITE 75 GRS, COLADO NA CABEÇA E GRAMPEADO.</t>
  </si>
  <si>
    <t>BLOCO DE REQUISIÇÃO DE ABASTECIMENTO 50X2, TIMBRADO, COM LOGO DA CÂMARA MUNICIPAL DE LUÍS EDUARDO MAGALHÃES, FORMATO 16X11, IMPRESSÃO 4X0, PAPEL COPIATIVO, COLADO NA CABEÇA, GRAMPEADO, NUMERADO, PICOTADA A 1ª VIA.</t>
  </si>
  <si>
    <t>BLOCO DE REQUISIÇÃO DE LAVAGEM 50X2, TIMBRADO, COM LOGO DA CÂMARA MUNICIPAL DE LUÍS EDUARDO MAGALHÃES, FORMATO 16X11, IMPRESSÃO 4X0, PAPEL COPIATIVO, COLADO NA CABEÇA, GRAMPEADO, NUMERADO, PICOTADA A 1ª VIA.</t>
  </si>
  <si>
    <t>CALENDÁRIO DE MESA, BASE TAM 42X23CM,EM PAPELÃO , REVESTIDA NO PAPEL COUCHE 170GR, IMPRESSÃO 4X0,LAMINAÇÃO FOSCA FOLHAS EXTERNAS 26 PÁGINAS, TAM. 20X14CM, PAPEL COUCHÊ  210GR,IMPRESSÃO 4X4 ACABAMENTO EM WIRE - O, LAMINAÇÃO FOSCA E VERNIZ UV LOCALIZADO (LAMINAÇÃO FOSCA E VERNIZ LOCALIZADO EM TODAS AS PÁGINAS) COM LOGO DA CÂMARA MUNICIPAL DE LUÍS EDUARDO MAGALHÃES E INFORMAÇÕES/FOTOS A CRITÉRIO DA ADMINISTRAÇÃO.</t>
  </si>
  <si>
    <t xml:space="preserve">CAPA PARA PROCESSO, FORMATO A4, TIMBRADO COM LOGO DA CÂMARA MUNICIPAL DE LUÍS EDUARDO MAGALHÃES, PLÁSTICO TRANSPARENTE E FLEXÍVEL, RESISTENTE. MEDIDAS 520MM X 365MM (ABERTA) COM ABAS INTERNAS DE 145MM CADA, LOMBADA DE 25MM E BOLSA CANGURU NA PARTE FRONTAL, DO MESMO MATERIAL, COM MEDIDA DE 240MM NA LATERAL E 300MM DE ALTURA, COLADA NA PARTE INFERIOR E NOS LADOS, COM PRESILHA PLÁSTICA, 2 PINOS, COM CONTRA CAPA EM PVC. </t>
  </si>
  <si>
    <t xml:space="preserve">CARIMBO  NUMERADOR SEQUENCIAL AUTOMÁTICO DE PÁGINAS, DE 0 À 12 REPETIÇÕES, ENTINTAMENTO AUTOMÁTICO, 6 DIGITOS. </t>
  </si>
  <si>
    <t>CARIMBOS AUTOMÁTICOS , TAMANHO 6,4 X4.0 COM LOGO DA CÂMARA MUNICIPAL DE LUIS EDUARDO MAGALHÃES.</t>
  </si>
  <si>
    <t>CARIMBOS AUTOMÁTICOS, TAMANHO 3,8 X1,4 COM LOGO DA CÂMARA MUNICIPAL DE LUIS EDUARDO MAGALHÃES.</t>
  </si>
  <si>
    <t>CARIMBOS AUTOMÁTICOS, TAMANHO 4 X 6,5 COM LOGO DA CÂMARA MUNICIPAL DE LUIS EDUARDO MAGALHÃES.</t>
  </si>
  <si>
    <t>CARIMBOS AUTOMÁTICOS, TAMANHO 7,6 X3,8 COM LOGO DA CÂMARA MUNICIPAL DE LUIS EDUARDO MAGALHÃES.</t>
  </si>
  <si>
    <t>CARTÃO COMEMORATIVO, FORMATO 11 X 15,5 CM, PAPEL COUCHE BRILHO, 250 GRS, IMPRESSÃO 4X0, COM LOGO DA CÂMARA MUNICIPAL DE LUÍS EDUARDO MAGALHÃES.</t>
  </si>
  <si>
    <t>CARTÃO DE VISITA, FORMATO 5X 9 CM IMPRESSÃO 4X0, PAPEL COUCHE 250 GRS, FRENTE E VERSO, COM LOGO DA CÂMARA MUNICIPAL DE LUÍS EDUARDO MAGALHÃES E INFORMAÇÕES/FOTOS A CRITÉRIO DA ADMINISTRAÇÃO.</t>
  </si>
  <si>
    <t>CARTÃO PARA INDENTIFICAÇÃO DE AUTORIDADES, BRANCO FORMATO 15,5 CM X  11 CM, EM PAPEL CARTÃO LISO, BRANCO,300 GRS, CONTENDO AS SEGUINTES INFORMAÇÕES , CONFORME DESCRIÇÃO ABAIXO E SEU RESPECTIVO CAMPO PARA PREENCHIMENTO: AUTORIDADE, ENTIDADE, LOGO MARCA DA CÂMARA MUNICIPAL DE LUIS EDUARDO MAGALHÃES.</t>
  </si>
  <si>
    <t>CARTILHA, FORMATO 15X21 CAPA E CONTRA. PAPEL COUCHE BRILHO COM VERNIZ LOCALIZADO 180 GRS, MIOLO EM PAPEL SULFITE 75GRS, 13 CADERNOS 52 PAGINAS 75 GRS IM. 4X1 ACABAMENTO LOMBADA, CANOA , GRAMPEADO, COM LOGO DA CÂMARA MUNICIPAL DE LUÍS EDUARDO MAGALHÃES E INFORMAÇÕES/FOTOS A CRITÉRIO DA ADMINISTRAÇÃO.</t>
  </si>
  <si>
    <t>CRACHÁ DE INDENTIFICAÇÃO COM PROTEÇÃO, FORMATO 8,5X 5,5 CM. IMPRESSÃO 4X4 EM PVC COM FOTO DADOS PESSOAIS, CARGO MATRICULA DO FUNCIONÁRIO E COM LOGO DA CÂMARA MUNICIPAL DE LUIS EDUARDO.</t>
  </si>
  <si>
    <t>ENCADERNAÇÃO CAPA DE PLASTICO, SIMPLES E COM ESPIRAL FORMATO FOLHA A4.</t>
  </si>
  <si>
    <t>ENCADERNAÇÃO CAPA DURA FORMATO 21X30, COM TITULO DE INDENTIFICAÇÃO E TIBRE DA CÂMARA MUNICIPAL DE LUIS EDUARDO MAGALHÃES</t>
  </si>
  <si>
    <t>ENVELOPE BRANCO, TIMBRADO, COM LOGO DA CÂMARA MUNICIPAL DE LUÍS EDUARDO MAGALHÃES, TAMANHO 11,5 X16 , IMPRESSÃO 4X0, COM FACA, PAPEL OFFSET 150GR.</t>
  </si>
  <si>
    <t>ENVELOPE BRANCO, TIMBRADO, COM LOGO DA CÂMARA MUNICIPAL DE LUÍS EDUARDO MAGALHÃES, TAMANHO 20X28 IMPRESSÃO 4X0,COM FACA, PAPEL OFFSET 150GR.</t>
  </si>
  <si>
    <t>ENVELOPE BRANCO, TIMBRADO, COM LOGO DA CÂMARA MUNICIPAL DE LUÍS EDUARDO MAGALHÃES, TAMANHO 23X11,5 IMPRESSÃO 4X0,COM FACA, PAPEL OFFSET 150GR.</t>
  </si>
  <si>
    <t>ENVELOPE BRANCO, TIMBRADO, COM LOGO DA CÂMARA MUNICIPAL DE LUÍS EDUARDO MAGALHÃES, TIPO SACO, TAMANHO 24,5X18.5, IMPRESSÃO 4X0,COM FACA, PAPEL OFFSET 150GR.</t>
  </si>
  <si>
    <t>ENVELOPE BRANCO, TIMBRADO, COM LOGO DA CÂMARA MUNICIPAL DE LUÍS EDUARDO MAGALHÃES, TIPO SACO, TAMANHO 26X36, IMPRESSÃO 4X0,COM FACA, PAPEL OFFSET 150GR.</t>
  </si>
  <si>
    <t xml:space="preserve">FOLDER, 21X30CM, IMP. 4/4, PAPEL COUCHE 210GR , 01 DOBRA,COM LOGO DA CÂMARA MUNICIPAL DE LUÍS EDUARDO MAGALHÃES. </t>
  </si>
  <si>
    <t>LIVRETO DA LEI ORGÂNICA, FORMATO 21X15 CAPA E CONTRA CAPA: IMPRESSÃO  4X1 , PAPEL COUCHE 250 GRS, PLASTIFICADA - MIOLO 80 FOLHAS, PAPEL SULFITE 75 GRS, IMPRESSÃO 1X1- ACABAMENTO  LOMBADA QUADRADA.</t>
  </si>
  <si>
    <t>LIVRETO DE REGIMENTO  INTERNO, FORMATO 20X15 CAPA / CONTRA CAPA; IMPRESSÃO 4X0, PAPEL COUCHE 250GRS , PLASTIFICADA- MIOLO 100 FOLHAS, PAPEL SULFITE 75 GRS, IMPRESSÃO 1X1- ACABAMENTO LOMBADA QUADRADA.</t>
  </si>
  <si>
    <t>LIVRETO DA LEI MUNICIPAL, Nº 101/2002 - ESTATUTO DOS SERVIDORES PÚBLICOS DO MUNICIPIO E ALTERAÇÕES. FORMATO 20X15 – CAPA/ CONTRA CAPA: IMPRESSÃO 4X0 (PAPEL COUCHE 300 GRS, PLASTIFICADA) MIOLO: 100 FOLHAS, PAPEL SULFITE 75 GRS, IMPRESSÃO 1X1, ACABAMENTO LOMBADA QUADRADA.</t>
  </si>
  <si>
    <t>LIVRETO DA LEI MUNICIPAL, Nº 592/2013 - PLANO DE CARGOS E SALÁRIOS DA CÂMARA MUNICIPAL DE LUÍS EDUARDO MAGALHÃES. FORMATO 20X15 – CAPA/ CONTRA CAPA: IMPRESSÃO 4X0 (PAPEL COUCHE 300 GRS, PLASTIFICADA) MIOLO: 110 FOLHAS, PAPEL SULFITE 75 GRS, IMPRESSÃO 1X1, ACABAMENTO LOMBADA QUADRADA.</t>
  </si>
  <si>
    <t>PANFLETOS INSTITUCIONAIS, FORMATO 21X30, IMPRESSÃO 4X0 , PAPEL COUCHE 115 GRS, INFORMAÇÕES/FOTOS A CRITÉRIO DA ADMINISTRAÇÃO.</t>
  </si>
  <si>
    <t>PANFLETOS TIMBRADOS, FORMATO 21X15CM, IMPRESSÃO 4X0, PAPEL COUCHE 115GRS, INFORMAÇÕES/FOTOS A CRITÉRIO DA ADMINISTRAÇÃO.</t>
  </si>
  <si>
    <t>PAPEL TIMBRADO COM LOGO DA CÂMARA MUNICIPAL DE LUÍS EDUARDO MAGALHÃES, FORMATO A4, IMPRESSÃO 4X0, PAPEL SULFITE 75GRS. OBS.: OS PAPÉIS TIMBRADOS DEVEM SER ENTREGUES EM FORMATO DE RESMA COM 500 FOLHAS, PARA FACILITAR A CONTAGEM NO MOMENTO DA ENTREGA.</t>
  </si>
  <si>
    <t>PASTA DE APRESENTAÇÃO COM BOLSA, TIMBRADA COM LOGO DA CÂMARA MUNICIPAL DE LUIS EDUARDO, FORMATO 31X48, IMPRESSÃO 4X0 PAPEL COUCHE 250 GRS.</t>
  </si>
  <si>
    <t>PASTA DE APRESENTAÇÃO COM ORELHA , TIMBRADA COM LOGO DA CÂMARA MUNICIPAL DE LUIS EDUARDO, FORMATO 31X48, IMPRESSÃO 4X0, PAPEL COUCHE 250 GRS.</t>
  </si>
  <si>
    <t>TINTA PRETA PARA CARIMBOS AUTOMÁTICOS.</t>
  </si>
  <si>
    <t>TROCA DE BORRACHA DOS CARIMBOS AUTOMÁTICOS TAMANHO 4X6,5 COM LOGO DA CÂMARA MUNICIPAL DE LUIS EDUARDO MAGALHÃES.</t>
  </si>
  <si>
    <t>TROCA DE BORRACHA DOS CARIMBOS AUTOMÁTICOS TAMANHO 6,4X4,0 COMLOGO DA CÂMARA MUNICIPAL DE LUIS EDUARDO MAGALHÃES.</t>
  </si>
  <si>
    <t>TROCA DE BORRACHA DOS CARIMBOS AUTOMÁTICOS TAMANHO 7,6 X 3,8 COM LOGO DA CÂMARA MUNICIPAL DE LUIS EDUARDO  MAGALHÃES.</t>
  </si>
  <si>
    <t>MARCA</t>
  </si>
  <si>
    <t>VALIDADE DA PROSPOSTA 60 DIAS                                                                                                                                                VALOR TOTAL GERAL:</t>
  </si>
  <si>
    <t xml:space="preserve">BOTONS PERSONALIZADOS EM METAL, FORMATO 2,8X3,7CM, ACABAMENTO PERFEITO, CORES FORTES E BEM DEFINIDAS, SEM MANCHAS, BORRÕES, OXIDAÇÃO OU FALHA NA PINTURA; VERSO COM PINO E TRAVA DE METAL, EMBALADOS INDIVIDUALMENTE EM EMBALAGEM PLÁSTICA. INFORMAÇÕES/FOTOS A CRITÉRIO DA ADMINISTRAÇÃO. </t>
  </si>
  <si>
    <t xml:space="preserve">CARTAZES A3 - 297 X 420 MM: TAMANHO EQUIVALENTE AO DOBRO DE UMA FOLHA SULFITE, IMPRESSO EM PAPEL COUCHE 115 G, 4X0 CORES. INFORMAÇÕES/FOTOS A CRITÉRIO DA ADMINISTRAÇÃO. </t>
  </si>
  <si>
    <t xml:space="preserve">ADESIVO VINIL, FORMATO 75X110 CM, IMPRESSÃO DE ALTA QUALIDADE, CORES VIVAS, INFORMAÇÕES/FOTOS A CRITÉRIO DA ADMINISTRAÇÃO. </t>
  </si>
  <si>
    <t xml:space="preserve">FAIXA NO FORMATO 3X1 EM LONA COM IMPRESSÃO DIGITAL E ACABAMENTO EM ILHÓS. INFORMAÇÕES/FOTOS A CRITÉRIO DA ADMINISTRAÇÃO. </t>
  </si>
  <si>
    <t xml:space="preserve">ADESIVO VINIL, FORMATO A4, IMPRESSÃO DE ALTA QUALIDADE, CORES VIVAS, INFORMAÇÕES/FOTOS A CRITÉRIO DA ADMINISTRAÇÃO. </t>
  </si>
  <si>
    <t xml:space="preserve">IMAGENS EM ADESIVO VINIL, FORMATO 15X21CM,  IMPRESSÃO DE ALTA QUALIDADE, CORES VIVAS, INFORMAÇÕES/FOTOS A CRITÉRIO DA ADMINISTRAÇÃO. </t>
  </si>
  <si>
    <t>QUANT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</si>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</sst>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4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7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0" fillId="0" borderId="0" xfId="0" applyNumberFormat="1"/>
    <xf numFmtId="2" fontId="7" fillId="0" borderId="0" xfId="0" applyNumberFormat="1" applyFont="1"/>
    <xf numFmtId="0" fontId="8" fillId="0" borderId="0" xfId="0" applyFont="1"/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10" fillId="0" borderId="0" xfId="0" applyNumberFormat="1" applyFont="1"/>
    <xf numFmtId="2" fontId="11" fillId="0" borderId="0" xfId="0" applyNumberFormat="1" applyFont="1" applyAlignment="1">
      <alignment vertical="center"/>
    </xf>
    <xf numFmtId="0" fontId="12" fillId="0" borderId="0" xfId="0" applyFont="1"/>
    <xf numFmtId="0" fontId="13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7" fillId="0" borderId="6" xfId="0" applyFont="1" applyBorder="1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5" fillId="0" borderId="0" xfId="0" applyFont="1"/>
    <xf numFmtId="0" fontId="6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tabSelected="1" zoomScale="90" zoomScaleNormal="90" workbookViewId="0">
      <selection activeCell="H1" sqref="H1:I1"/>
    </sheetView>
  </sheetViews>
  <sheetFormatPr defaultRowHeight="18" x14ac:dyDescent="0.35"/>
  <cols>
    <col min="1" max="1" width="6" customWidth="1"/>
    <col min="2" max="2" width="53.109375" customWidth="1"/>
    <col min="3" max="3" width="7.33203125" customWidth="1"/>
    <col min="4" max="4" width="8.109375" customWidth="1"/>
    <col min="5" max="5" width="5.77734375" style="10" customWidth="1"/>
    <col min="6" max="6" width="7" style="12" customWidth="1"/>
    <col min="7" max="7" width="10.21875" style="10" customWidth="1"/>
    <col min="9" max="9" width="13.6640625" customWidth="1"/>
    <col min="10" max="10" width="1.44140625" style="36" customWidth="1"/>
    <col min="11" max="11" width="8.21875" style="19" customWidth="1"/>
    <col min="12" max="12" width="11.109375" customWidth="1"/>
    <col min="13" max="13" width="1.77734375" style="37" customWidth="1"/>
    <col min="14" max="14" width="6.5546875" style="19" customWidth="1"/>
    <col min="15" max="15" width="11.33203125" customWidth="1"/>
    <col min="16" max="16" width="1.5546875" style="37" customWidth="1"/>
    <col min="17" max="17" width="6.5546875" style="25" customWidth="1"/>
    <col min="18" max="18" width="11.109375" style="16" customWidth="1"/>
    <col min="19" max="19" width="1.21875" style="37" customWidth="1"/>
    <col min="20" max="20" width="5.88671875" style="19" customWidth="1"/>
    <col min="21" max="21" width="16.33203125" style="16" customWidth="1"/>
    <col min="22" max="22" width="1.77734375" style="37" customWidth="1"/>
    <col min="23" max="23" width="8.88671875" style="35"/>
    <col min="24" max="24" width="8.88671875" style="18"/>
  </cols>
  <sheetData>
    <row r="1" spans="1:21" x14ac:dyDescent="0.35">
      <c r="H1" s="33"/>
      <c r="I1" s="33"/>
      <c r="K1" s="34"/>
      <c r="L1" s="34"/>
    </row>
    <row r="2" spans="1:21" ht="18.600000000000001" customHeight="1" x14ac:dyDescent="0.35">
      <c r="A2" s="1" t="s">
        <v>0</v>
      </c>
      <c r="B2" s="1" t="s">
        <v>1</v>
      </c>
      <c r="C2" s="1" t="s">
        <v>2</v>
      </c>
      <c r="D2" s="1" t="s">
        <v>48</v>
      </c>
      <c r="E2" s="1" t="s">
        <v>3</v>
      </c>
      <c r="F2" s="2" t="s">
        <v>4</v>
      </c>
      <c r="G2" s="2" t="s">
        <v>5</v>
      </c>
      <c r="H2" s="15" t="s">
        <v>56</v>
      </c>
      <c r="I2" s="14" t="s">
        <v>57</v>
      </c>
      <c r="K2" s="21"/>
      <c r="L2" s="20"/>
      <c r="N2" s="21"/>
      <c r="O2" s="14"/>
      <c r="Q2" s="26"/>
      <c r="R2" s="14"/>
      <c r="T2" s="27"/>
      <c r="U2" s="22"/>
    </row>
    <row r="3" spans="1:21" x14ac:dyDescent="0.35">
      <c r="A3" s="3">
        <v>1</v>
      </c>
      <c r="B3" s="4" t="s">
        <v>6</v>
      </c>
      <c r="C3" s="5" t="s">
        <v>2</v>
      </c>
      <c r="D3" s="5"/>
      <c r="E3" s="6">
        <v>30</v>
      </c>
      <c r="F3" s="8">
        <v>37.840000000000003</v>
      </c>
      <c r="G3" s="9">
        <f t="shared" ref="G3:G50" si="0">SUM(E3*F3)</f>
        <v>1135.2</v>
      </c>
      <c r="H3" s="19">
        <v>7</v>
      </c>
      <c r="I3" s="16">
        <f>SUM(F3*H3)</f>
        <v>264.88</v>
      </c>
      <c r="L3" s="16"/>
      <c r="O3" s="16"/>
    </row>
    <row r="4" spans="1:21" x14ac:dyDescent="0.35">
      <c r="A4" s="3">
        <v>2</v>
      </c>
      <c r="B4" s="4" t="s">
        <v>7</v>
      </c>
      <c r="C4" s="5" t="s">
        <v>2</v>
      </c>
      <c r="D4" s="5"/>
      <c r="E4" s="6">
        <v>30</v>
      </c>
      <c r="F4" s="8">
        <v>42.96</v>
      </c>
      <c r="G4" s="9">
        <f t="shared" si="0"/>
        <v>1288.8</v>
      </c>
      <c r="H4" s="19">
        <v>10</v>
      </c>
      <c r="I4" s="16">
        <f t="shared" ref="I4:I50" si="1">SUM(F4*H4)</f>
        <v>429.6</v>
      </c>
      <c r="L4" s="16"/>
      <c r="O4" s="16"/>
    </row>
    <row r="5" spans="1:21" x14ac:dyDescent="0.35">
      <c r="A5" s="3">
        <v>3</v>
      </c>
      <c r="B5" s="4" t="s">
        <v>8</v>
      </c>
      <c r="C5" s="5" t="s">
        <v>2</v>
      </c>
      <c r="D5" s="5"/>
      <c r="E5" s="6">
        <v>30</v>
      </c>
      <c r="F5" s="8">
        <v>42.96</v>
      </c>
      <c r="G5" s="9">
        <f t="shared" si="0"/>
        <v>1288.8</v>
      </c>
      <c r="H5" s="19">
        <v>10</v>
      </c>
      <c r="I5" s="16">
        <f t="shared" si="1"/>
        <v>429.6</v>
      </c>
      <c r="L5" s="16"/>
      <c r="O5" s="16"/>
    </row>
    <row r="6" spans="1:21" x14ac:dyDescent="0.35">
      <c r="A6" s="3">
        <v>4</v>
      </c>
      <c r="B6" s="4" t="s">
        <v>9</v>
      </c>
      <c r="C6" s="5" t="s">
        <v>2</v>
      </c>
      <c r="D6" s="5"/>
      <c r="E6" s="6">
        <v>30</v>
      </c>
      <c r="F6" s="8">
        <v>42.96</v>
      </c>
      <c r="G6" s="9">
        <f t="shared" si="0"/>
        <v>1288.8</v>
      </c>
      <c r="H6" s="19">
        <v>6</v>
      </c>
      <c r="I6" s="16">
        <f t="shared" si="1"/>
        <v>257.76</v>
      </c>
      <c r="L6" s="16"/>
      <c r="O6" s="16"/>
    </row>
    <row r="7" spans="1:21" ht="48" x14ac:dyDescent="0.35">
      <c r="A7" s="3">
        <v>5</v>
      </c>
      <c r="B7" s="7" t="s">
        <v>10</v>
      </c>
      <c r="C7" s="5" t="s">
        <v>2</v>
      </c>
      <c r="D7" s="5"/>
      <c r="E7" s="6">
        <v>375</v>
      </c>
      <c r="F7" s="8">
        <v>36.82</v>
      </c>
      <c r="G7" s="9">
        <f t="shared" si="0"/>
        <v>13807.5</v>
      </c>
      <c r="H7" s="19">
        <v>375</v>
      </c>
      <c r="I7" s="16">
        <f t="shared" si="1"/>
        <v>13807.5</v>
      </c>
      <c r="L7" s="16"/>
      <c r="O7" s="16"/>
    </row>
    <row r="8" spans="1:21" ht="36" x14ac:dyDescent="0.35">
      <c r="A8" s="3">
        <v>6</v>
      </c>
      <c r="B8" s="7" t="s">
        <v>11</v>
      </c>
      <c r="C8" s="5" t="s">
        <v>2</v>
      </c>
      <c r="D8" s="5"/>
      <c r="E8" s="6">
        <v>500</v>
      </c>
      <c r="F8" s="8">
        <v>6.85</v>
      </c>
      <c r="G8" s="9">
        <f t="shared" si="0"/>
        <v>3425</v>
      </c>
      <c r="H8" s="19">
        <v>25</v>
      </c>
      <c r="I8" s="16">
        <f t="shared" si="1"/>
        <v>171.25</v>
      </c>
      <c r="L8" s="16"/>
      <c r="O8" s="16"/>
    </row>
    <row r="9" spans="1:21" ht="36" x14ac:dyDescent="0.35">
      <c r="A9" s="3">
        <v>7</v>
      </c>
      <c r="B9" s="7" t="s">
        <v>12</v>
      </c>
      <c r="C9" s="5" t="s">
        <v>2</v>
      </c>
      <c r="D9" s="5"/>
      <c r="E9" s="6">
        <v>500</v>
      </c>
      <c r="F9" s="8">
        <v>10.53</v>
      </c>
      <c r="G9" s="9">
        <f t="shared" si="0"/>
        <v>5265</v>
      </c>
      <c r="H9" s="19">
        <v>30</v>
      </c>
      <c r="I9" s="16">
        <f t="shared" si="1"/>
        <v>315.89999999999998</v>
      </c>
      <c r="L9" s="16"/>
      <c r="O9" s="16"/>
    </row>
    <row r="10" spans="1:21" ht="48" x14ac:dyDescent="0.35">
      <c r="A10" s="3">
        <v>8</v>
      </c>
      <c r="B10" s="7" t="s">
        <v>13</v>
      </c>
      <c r="C10" s="5" t="s">
        <v>2</v>
      </c>
      <c r="D10" s="5"/>
      <c r="E10" s="6">
        <v>250</v>
      </c>
      <c r="F10" s="8">
        <v>10.63</v>
      </c>
      <c r="G10" s="9">
        <f t="shared" si="0"/>
        <v>2657.5</v>
      </c>
      <c r="H10" s="19"/>
      <c r="I10" s="16">
        <f t="shared" si="1"/>
        <v>0</v>
      </c>
      <c r="L10" s="16"/>
      <c r="O10" s="16"/>
    </row>
    <row r="11" spans="1:21" ht="48" x14ac:dyDescent="0.35">
      <c r="A11" s="3">
        <v>9</v>
      </c>
      <c r="B11" s="7" t="s">
        <v>14</v>
      </c>
      <c r="C11" s="5" t="s">
        <v>2</v>
      </c>
      <c r="D11" s="5"/>
      <c r="E11" s="6">
        <v>125</v>
      </c>
      <c r="F11" s="8">
        <v>15.34</v>
      </c>
      <c r="G11" s="9">
        <f t="shared" si="0"/>
        <v>1917.5</v>
      </c>
      <c r="H11" s="19"/>
      <c r="I11" s="16">
        <f t="shared" si="1"/>
        <v>0</v>
      </c>
      <c r="L11" s="16"/>
      <c r="O11" s="16"/>
    </row>
    <row r="12" spans="1:21" ht="84" x14ac:dyDescent="0.35">
      <c r="A12" s="3">
        <v>10</v>
      </c>
      <c r="B12" s="7" t="s">
        <v>15</v>
      </c>
      <c r="C12" s="5" t="s">
        <v>2</v>
      </c>
      <c r="D12" s="5"/>
      <c r="E12" s="6">
        <v>375</v>
      </c>
      <c r="F12" s="8">
        <v>29.66</v>
      </c>
      <c r="G12" s="9">
        <f t="shared" si="0"/>
        <v>11122.5</v>
      </c>
      <c r="H12" s="19">
        <v>375</v>
      </c>
      <c r="I12" s="16">
        <f t="shared" si="1"/>
        <v>11122.5</v>
      </c>
      <c r="L12" s="16"/>
      <c r="O12" s="16"/>
    </row>
    <row r="13" spans="1:21" ht="84" x14ac:dyDescent="0.35">
      <c r="A13" s="3">
        <v>11</v>
      </c>
      <c r="B13" s="7" t="s">
        <v>16</v>
      </c>
      <c r="C13" s="5" t="s">
        <v>2</v>
      </c>
      <c r="D13" s="5"/>
      <c r="E13" s="6">
        <v>3750</v>
      </c>
      <c r="F13" s="8">
        <v>27.18</v>
      </c>
      <c r="G13" s="9">
        <f t="shared" si="0"/>
        <v>101925</v>
      </c>
      <c r="H13" s="19">
        <v>1200</v>
      </c>
      <c r="I13" s="16">
        <f t="shared" si="1"/>
        <v>32616</v>
      </c>
      <c r="L13" s="16"/>
      <c r="O13" s="16"/>
    </row>
    <row r="14" spans="1:21" ht="24" x14ac:dyDescent="0.35">
      <c r="A14" s="3">
        <v>12</v>
      </c>
      <c r="B14" s="7" t="s">
        <v>17</v>
      </c>
      <c r="C14" s="5" t="s">
        <v>2</v>
      </c>
      <c r="D14" s="5"/>
      <c r="E14" s="6">
        <v>13</v>
      </c>
      <c r="F14" s="8">
        <v>491</v>
      </c>
      <c r="G14" s="9">
        <f t="shared" si="0"/>
        <v>6383</v>
      </c>
      <c r="H14" s="19">
        <v>4</v>
      </c>
      <c r="I14" s="16">
        <f t="shared" si="1"/>
        <v>1964</v>
      </c>
      <c r="L14" s="16"/>
      <c r="O14" s="16"/>
    </row>
    <row r="15" spans="1:21" ht="24" x14ac:dyDescent="0.35">
      <c r="A15" s="3">
        <v>13</v>
      </c>
      <c r="B15" s="7" t="s">
        <v>18</v>
      </c>
      <c r="C15" s="5" t="s">
        <v>2</v>
      </c>
      <c r="D15" s="5"/>
      <c r="E15" s="6">
        <v>38</v>
      </c>
      <c r="F15" s="8">
        <v>122.74</v>
      </c>
      <c r="G15" s="9">
        <f t="shared" si="0"/>
        <v>4664.12</v>
      </c>
      <c r="H15" s="19">
        <v>28</v>
      </c>
      <c r="I15" s="16">
        <f t="shared" si="1"/>
        <v>3436.72</v>
      </c>
      <c r="L15" s="16"/>
      <c r="O15" s="16"/>
    </row>
    <row r="16" spans="1:21" ht="24" x14ac:dyDescent="0.35">
      <c r="A16" s="3">
        <v>14</v>
      </c>
      <c r="B16" s="4" t="s">
        <v>19</v>
      </c>
      <c r="C16" s="5" t="s">
        <v>2</v>
      </c>
      <c r="D16" s="5"/>
      <c r="E16" s="6">
        <v>38</v>
      </c>
      <c r="F16" s="8">
        <v>81.819999999999993</v>
      </c>
      <c r="G16" s="9">
        <f t="shared" si="0"/>
        <v>3109.16</v>
      </c>
      <c r="H16" s="19">
        <v>26</v>
      </c>
      <c r="I16" s="16">
        <f t="shared" si="1"/>
        <v>2127.3199999999997</v>
      </c>
      <c r="L16" s="16"/>
      <c r="O16" s="16"/>
    </row>
    <row r="17" spans="1:15" ht="24" x14ac:dyDescent="0.35">
      <c r="A17" s="3">
        <v>15</v>
      </c>
      <c r="B17" s="7" t="s">
        <v>20</v>
      </c>
      <c r="C17" s="5" t="s">
        <v>2</v>
      </c>
      <c r="D17" s="5"/>
      <c r="E17" s="6">
        <v>38</v>
      </c>
      <c r="F17" s="8">
        <v>122.73</v>
      </c>
      <c r="G17" s="9">
        <f t="shared" si="0"/>
        <v>4663.74</v>
      </c>
      <c r="H17" s="19">
        <v>33</v>
      </c>
      <c r="I17" s="16">
        <f t="shared" si="1"/>
        <v>4050.09</v>
      </c>
      <c r="L17" s="16"/>
      <c r="O17" s="16"/>
    </row>
    <row r="18" spans="1:15" ht="24" x14ac:dyDescent="0.35">
      <c r="A18" s="3">
        <v>16</v>
      </c>
      <c r="B18" s="4" t="s">
        <v>21</v>
      </c>
      <c r="C18" s="5" t="s">
        <v>2</v>
      </c>
      <c r="D18" s="5"/>
      <c r="E18" s="6">
        <v>38</v>
      </c>
      <c r="F18" s="8">
        <v>92.05</v>
      </c>
      <c r="G18" s="9">
        <f t="shared" si="0"/>
        <v>3497.9</v>
      </c>
      <c r="H18" s="19">
        <v>32</v>
      </c>
      <c r="I18" s="16">
        <f t="shared" si="1"/>
        <v>2945.6</v>
      </c>
      <c r="L18" s="16"/>
      <c r="O18" s="16"/>
    </row>
    <row r="19" spans="1:15" ht="36" x14ac:dyDescent="0.35">
      <c r="A19" s="3">
        <v>17</v>
      </c>
      <c r="B19" s="4" t="s">
        <v>22</v>
      </c>
      <c r="C19" s="5" t="s">
        <v>2</v>
      </c>
      <c r="D19" s="5"/>
      <c r="E19" s="6">
        <v>12500</v>
      </c>
      <c r="F19" s="8">
        <v>0.21</v>
      </c>
      <c r="G19" s="9">
        <f t="shared" si="0"/>
        <v>2625</v>
      </c>
      <c r="H19" s="19">
        <v>2000</v>
      </c>
      <c r="I19" s="16">
        <f t="shared" si="1"/>
        <v>420</v>
      </c>
      <c r="L19" s="16"/>
      <c r="O19" s="16"/>
    </row>
    <row r="20" spans="1:15" ht="48" x14ac:dyDescent="0.35">
      <c r="A20" s="3">
        <v>18</v>
      </c>
      <c r="B20" s="7" t="s">
        <v>23</v>
      </c>
      <c r="C20" s="5" t="s">
        <v>2</v>
      </c>
      <c r="D20" s="5"/>
      <c r="E20" s="6">
        <v>50000</v>
      </c>
      <c r="F20" s="8">
        <v>0.18</v>
      </c>
      <c r="G20" s="9">
        <f t="shared" si="0"/>
        <v>9000</v>
      </c>
      <c r="H20" s="19">
        <v>7000</v>
      </c>
      <c r="I20" s="16">
        <f t="shared" si="1"/>
        <v>1260</v>
      </c>
      <c r="L20" s="16"/>
      <c r="O20" s="16"/>
    </row>
    <row r="21" spans="1:15" ht="60" x14ac:dyDescent="0.35">
      <c r="A21" s="3">
        <v>19</v>
      </c>
      <c r="B21" s="4" t="s">
        <v>24</v>
      </c>
      <c r="C21" s="5" t="s">
        <v>2</v>
      </c>
      <c r="D21" s="5"/>
      <c r="E21" s="6">
        <v>2500</v>
      </c>
      <c r="F21" s="8">
        <v>0.77</v>
      </c>
      <c r="G21" s="9">
        <f t="shared" si="0"/>
        <v>1925</v>
      </c>
      <c r="H21" s="19">
        <v>1500</v>
      </c>
      <c r="I21" s="16">
        <f t="shared" si="1"/>
        <v>1155</v>
      </c>
      <c r="L21" s="16"/>
      <c r="O21" s="16"/>
    </row>
    <row r="22" spans="1:15" ht="60" x14ac:dyDescent="0.35">
      <c r="A22" s="3">
        <v>20</v>
      </c>
      <c r="B22" s="4" t="s">
        <v>25</v>
      </c>
      <c r="C22" s="5" t="s">
        <v>2</v>
      </c>
      <c r="D22" s="5"/>
      <c r="E22" s="6">
        <v>250</v>
      </c>
      <c r="F22" s="8">
        <v>51.14</v>
      </c>
      <c r="G22" s="9">
        <f t="shared" si="0"/>
        <v>12785</v>
      </c>
      <c r="H22" s="19">
        <v>60</v>
      </c>
      <c r="I22" s="16">
        <f t="shared" si="1"/>
        <v>3068.4</v>
      </c>
      <c r="L22" s="16"/>
      <c r="O22" s="16"/>
    </row>
    <row r="23" spans="1:15" ht="36" x14ac:dyDescent="0.35">
      <c r="A23" s="3">
        <v>21</v>
      </c>
      <c r="B23" s="4" t="s">
        <v>26</v>
      </c>
      <c r="C23" s="5" t="s">
        <v>2</v>
      </c>
      <c r="D23" s="5"/>
      <c r="E23" s="6">
        <v>250</v>
      </c>
      <c r="F23" s="8">
        <v>28.63</v>
      </c>
      <c r="G23" s="9">
        <f t="shared" si="0"/>
        <v>7157.5</v>
      </c>
      <c r="H23" s="19">
        <v>80</v>
      </c>
      <c r="I23" s="16">
        <f t="shared" si="1"/>
        <v>2290.4</v>
      </c>
      <c r="L23" s="16"/>
      <c r="O23" s="16"/>
    </row>
    <row r="24" spans="1:15" ht="24" x14ac:dyDescent="0.35">
      <c r="A24" s="3">
        <v>22</v>
      </c>
      <c r="B24" s="4" t="s">
        <v>27</v>
      </c>
      <c r="C24" s="5" t="s">
        <v>2</v>
      </c>
      <c r="D24" s="5"/>
      <c r="E24" s="6">
        <v>125</v>
      </c>
      <c r="F24" s="8">
        <v>7.48</v>
      </c>
      <c r="G24" s="9">
        <f t="shared" si="0"/>
        <v>935</v>
      </c>
      <c r="H24" s="19">
        <v>35</v>
      </c>
      <c r="I24" s="16">
        <f t="shared" si="1"/>
        <v>261.8</v>
      </c>
      <c r="L24" s="16"/>
      <c r="O24" s="16"/>
    </row>
    <row r="25" spans="1:15" ht="36" x14ac:dyDescent="0.35">
      <c r="A25" s="3">
        <v>23</v>
      </c>
      <c r="B25" s="4" t="s">
        <v>28</v>
      </c>
      <c r="C25" s="5" t="s">
        <v>2</v>
      </c>
      <c r="D25" s="5"/>
      <c r="E25" s="6">
        <v>500</v>
      </c>
      <c r="F25" s="8">
        <v>79.78</v>
      </c>
      <c r="G25" s="9">
        <f t="shared" si="0"/>
        <v>39890</v>
      </c>
      <c r="H25" s="19">
        <v>100</v>
      </c>
      <c r="I25" s="16">
        <f t="shared" si="1"/>
        <v>7978</v>
      </c>
      <c r="L25" s="16"/>
      <c r="O25" s="16"/>
    </row>
    <row r="26" spans="1:15" ht="36" x14ac:dyDescent="0.35">
      <c r="A26" s="3">
        <v>24</v>
      </c>
      <c r="B26" s="4" t="s">
        <v>29</v>
      </c>
      <c r="C26" s="5" t="s">
        <v>2</v>
      </c>
      <c r="D26" s="5"/>
      <c r="E26" s="6">
        <v>6250</v>
      </c>
      <c r="F26" s="8">
        <v>1.23</v>
      </c>
      <c r="G26" s="9">
        <f t="shared" si="0"/>
        <v>7687.5</v>
      </c>
      <c r="H26" s="19">
        <v>1400</v>
      </c>
      <c r="I26" s="16">
        <f t="shared" si="1"/>
        <v>1722</v>
      </c>
      <c r="L26" s="16"/>
      <c r="O26" s="16"/>
    </row>
    <row r="27" spans="1:15" ht="36" x14ac:dyDescent="0.35">
      <c r="A27" s="3">
        <v>25</v>
      </c>
      <c r="B27" s="4" t="s">
        <v>30</v>
      </c>
      <c r="C27" s="5" t="s">
        <v>2</v>
      </c>
      <c r="D27" s="5"/>
      <c r="E27" s="6">
        <v>6250</v>
      </c>
      <c r="F27" s="8">
        <v>1.48</v>
      </c>
      <c r="G27" s="9">
        <f t="shared" si="0"/>
        <v>9250</v>
      </c>
      <c r="H27" s="19">
        <v>1750</v>
      </c>
      <c r="I27" s="16">
        <f t="shared" si="1"/>
        <v>2590</v>
      </c>
      <c r="L27" s="16"/>
      <c r="O27" s="16"/>
    </row>
    <row r="28" spans="1:15" ht="36" x14ac:dyDescent="0.35">
      <c r="A28" s="3">
        <v>26</v>
      </c>
      <c r="B28" s="4" t="s">
        <v>31</v>
      </c>
      <c r="C28" s="5" t="s">
        <v>2</v>
      </c>
      <c r="D28" s="5"/>
      <c r="E28" s="6">
        <v>6250</v>
      </c>
      <c r="F28" s="8">
        <v>1.25</v>
      </c>
      <c r="G28" s="9">
        <f t="shared" si="0"/>
        <v>7812.5</v>
      </c>
      <c r="H28" s="19">
        <v>1650</v>
      </c>
      <c r="I28" s="16">
        <f t="shared" si="1"/>
        <v>2062.5</v>
      </c>
      <c r="L28" s="16"/>
      <c r="O28" s="16"/>
    </row>
    <row r="29" spans="1:15" ht="36" x14ac:dyDescent="0.35">
      <c r="A29" s="3">
        <v>27</v>
      </c>
      <c r="B29" s="7" t="s">
        <v>32</v>
      </c>
      <c r="C29" s="5" t="s">
        <v>2</v>
      </c>
      <c r="D29" s="5"/>
      <c r="E29" s="6">
        <v>6250</v>
      </c>
      <c r="F29" s="8">
        <v>1.48</v>
      </c>
      <c r="G29" s="9">
        <f t="shared" si="0"/>
        <v>9250</v>
      </c>
      <c r="H29" s="19">
        <v>1750</v>
      </c>
      <c r="I29" s="16">
        <f t="shared" si="1"/>
        <v>2590</v>
      </c>
      <c r="L29" s="16"/>
      <c r="O29" s="16"/>
    </row>
    <row r="30" spans="1:15" ht="36" x14ac:dyDescent="0.35">
      <c r="A30" s="3">
        <v>28</v>
      </c>
      <c r="B30" s="7" t="s">
        <v>33</v>
      </c>
      <c r="C30" s="5" t="s">
        <v>2</v>
      </c>
      <c r="D30" s="5"/>
      <c r="E30" s="6">
        <v>6250</v>
      </c>
      <c r="F30" s="8">
        <v>1.99</v>
      </c>
      <c r="G30" s="9">
        <f t="shared" si="0"/>
        <v>12437.5</v>
      </c>
      <c r="H30" s="19">
        <v>1950</v>
      </c>
      <c r="I30" s="16">
        <f t="shared" si="1"/>
        <v>3880.5</v>
      </c>
      <c r="L30" s="16"/>
      <c r="O30" s="16"/>
    </row>
    <row r="31" spans="1:15" ht="24" x14ac:dyDescent="0.35">
      <c r="A31" s="3">
        <v>29</v>
      </c>
      <c r="B31" s="7" t="s">
        <v>34</v>
      </c>
      <c r="C31" s="5" t="s">
        <v>2</v>
      </c>
      <c r="D31" s="5"/>
      <c r="E31" s="6">
        <v>1250</v>
      </c>
      <c r="F31" s="8">
        <v>1.39</v>
      </c>
      <c r="G31" s="9">
        <f t="shared" si="0"/>
        <v>1737.4999999999998</v>
      </c>
      <c r="H31" s="19">
        <v>1250</v>
      </c>
      <c r="I31" s="16">
        <f t="shared" si="1"/>
        <v>1737.4999999999998</v>
      </c>
      <c r="L31" s="16"/>
      <c r="O31" s="16"/>
    </row>
    <row r="32" spans="1:15" ht="48" x14ac:dyDescent="0.35">
      <c r="A32" s="3">
        <v>30</v>
      </c>
      <c r="B32" s="7" t="s">
        <v>35</v>
      </c>
      <c r="C32" s="5" t="s">
        <v>2</v>
      </c>
      <c r="D32" s="5"/>
      <c r="E32" s="6">
        <v>250</v>
      </c>
      <c r="F32" s="8">
        <v>50.12</v>
      </c>
      <c r="G32" s="9">
        <f t="shared" si="0"/>
        <v>12530</v>
      </c>
      <c r="H32" s="19">
        <v>50</v>
      </c>
      <c r="I32" s="16">
        <f t="shared" si="1"/>
        <v>2506</v>
      </c>
      <c r="L32" s="16"/>
      <c r="O32" s="16"/>
    </row>
    <row r="33" spans="1:20" ht="48" x14ac:dyDescent="0.35">
      <c r="A33" s="3">
        <v>31</v>
      </c>
      <c r="B33" s="4" t="s">
        <v>36</v>
      </c>
      <c r="C33" s="5" t="s">
        <v>2</v>
      </c>
      <c r="D33" s="5"/>
      <c r="E33" s="6">
        <v>250</v>
      </c>
      <c r="F33" s="8">
        <v>52.16</v>
      </c>
      <c r="G33" s="9">
        <f t="shared" si="0"/>
        <v>13040</v>
      </c>
      <c r="H33" s="19">
        <v>50</v>
      </c>
      <c r="I33" s="16">
        <f t="shared" si="1"/>
        <v>2608</v>
      </c>
      <c r="L33" s="16"/>
      <c r="O33" s="16"/>
    </row>
    <row r="34" spans="1:20" ht="60" x14ac:dyDescent="0.35">
      <c r="A34" s="3">
        <v>32</v>
      </c>
      <c r="B34" s="4" t="s">
        <v>37</v>
      </c>
      <c r="C34" s="5" t="s">
        <v>2</v>
      </c>
      <c r="D34" s="5"/>
      <c r="E34" s="6">
        <v>250</v>
      </c>
      <c r="F34" s="8">
        <v>52.16</v>
      </c>
      <c r="G34" s="9">
        <f t="shared" si="0"/>
        <v>13040</v>
      </c>
      <c r="H34" s="19">
        <v>50</v>
      </c>
      <c r="I34" s="16">
        <f t="shared" si="1"/>
        <v>2608</v>
      </c>
      <c r="L34" s="16"/>
      <c r="O34" s="16"/>
    </row>
    <row r="35" spans="1:20" ht="60" x14ac:dyDescent="0.35">
      <c r="A35" s="3">
        <v>33</v>
      </c>
      <c r="B35" s="4" t="s">
        <v>38</v>
      </c>
      <c r="C35" s="5" t="s">
        <v>2</v>
      </c>
      <c r="D35" s="5"/>
      <c r="E35" s="6">
        <v>250</v>
      </c>
      <c r="F35" s="8">
        <v>53.18</v>
      </c>
      <c r="G35" s="9">
        <f t="shared" si="0"/>
        <v>13295</v>
      </c>
      <c r="H35" s="19">
        <v>50</v>
      </c>
      <c r="I35" s="16">
        <f t="shared" si="1"/>
        <v>2659</v>
      </c>
      <c r="L35" s="16"/>
      <c r="O35" s="16"/>
    </row>
    <row r="36" spans="1:20" ht="24" x14ac:dyDescent="0.35">
      <c r="A36" s="3">
        <v>34</v>
      </c>
      <c r="B36" s="4" t="s">
        <v>39</v>
      </c>
      <c r="C36" s="5" t="s">
        <v>2</v>
      </c>
      <c r="D36" s="5"/>
      <c r="E36" s="6">
        <v>12500</v>
      </c>
      <c r="F36" s="8">
        <v>0.31</v>
      </c>
      <c r="G36" s="9">
        <f t="shared" si="0"/>
        <v>3875</v>
      </c>
      <c r="H36" s="19"/>
      <c r="I36" s="16">
        <f t="shared" si="1"/>
        <v>0</v>
      </c>
      <c r="L36" s="16"/>
      <c r="O36" s="16"/>
    </row>
    <row r="37" spans="1:20" ht="24" x14ac:dyDescent="0.35">
      <c r="A37" s="3">
        <v>35</v>
      </c>
      <c r="B37" s="4" t="s">
        <v>40</v>
      </c>
      <c r="C37" s="5" t="s">
        <v>2</v>
      </c>
      <c r="D37" s="5"/>
      <c r="E37" s="6">
        <v>12500</v>
      </c>
      <c r="F37" s="8">
        <v>0.24</v>
      </c>
      <c r="G37" s="9">
        <f t="shared" si="0"/>
        <v>3000</v>
      </c>
      <c r="H37" s="19"/>
      <c r="I37" s="16">
        <f t="shared" si="1"/>
        <v>0</v>
      </c>
      <c r="L37" s="16"/>
      <c r="O37" s="16"/>
    </row>
    <row r="38" spans="1:20" ht="60" x14ac:dyDescent="0.35">
      <c r="A38" s="3">
        <v>36</v>
      </c>
      <c r="B38" s="4" t="s">
        <v>41</v>
      </c>
      <c r="C38" s="5" t="s">
        <v>2</v>
      </c>
      <c r="D38" s="5"/>
      <c r="E38" s="6">
        <v>12500</v>
      </c>
      <c r="F38" s="8">
        <v>0.31</v>
      </c>
      <c r="G38" s="9">
        <f t="shared" si="0"/>
        <v>3875</v>
      </c>
      <c r="H38" s="19">
        <v>1500</v>
      </c>
      <c r="I38" s="16">
        <f t="shared" si="1"/>
        <v>465</v>
      </c>
      <c r="L38" s="16"/>
      <c r="O38" s="16"/>
    </row>
    <row r="39" spans="1:20" ht="36" x14ac:dyDescent="0.35">
      <c r="A39" s="3">
        <v>37</v>
      </c>
      <c r="B39" s="4" t="s">
        <v>42</v>
      </c>
      <c r="C39" s="5" t="s">
        <v>2</v>
      </c>
      <c r="D39" s="5"/>
      <c r="E39" s="6">
        <v>2500</v>
      </c>
      <c r="F39" s="8">
        <v>2.86</v>
      </c>
      <c r="G39" s="9">
        <f t="shared" si="0"/>
        <v>7150</v>
      </c>
      <c r="H39" s="28">
        <v>1150</v>
      </c>
      <c r="I39" s="16">
        <f t="shared" si="1"/>
        <v>3289</v>
      </c>
      <c r="L39" s="16"/>
      <c r="O39" s="16"/>
      <c r="T39" s="28"/>
    </row>
    <row r="40" spans="1:20" ht="36" x14ac:dyDescent="0.35">
      <c r="A40" s="3">
        <v>38</v>
      </c>
      <c r="B40" s="4" t="s">
        <v>43</v>
      </c>
      <c r="C40" s="5" t="s">
        <v>2</v>
      </c>
      <c r="D40" s="5"/>
      <c r="E40" s="6">
        <v>2500</v>
      </c>
      <c r="F40" s="11">
        <v>2.56</v>
      </c>
      <c r="G40" s="9">
        <f t="shared" si="0"/>
        <v>6400</v>
      </c>
      <c r="H40" s="19">
        <v>1150</v>
      </c>
      <c r="I40" s="16">
        <f t="shared" si="1"/>
        <v>2944</v>
      </c>
      <c r="L40" s="16"/>
      <c r="O40" s="16"/>
    </row>
    <row r="41" spans="1:20" x14ac:dyDescent="0.35">
      <c r="A41" s="3">
        <v>39</v>
      </c>
      <c r="B41" s="4" t="s">
        <v>44</v>
      </c>
      <c r="C41" s="5" t="s">
        <v>2</v>
      </c>
      <c r="D41" s="5"/>
      <c r="E41" s="6">
        <v>38</v>
      </c>
      <c r="F41" s="8">
        <v>46</v>
      </c>
      <c r="G41" s="9">
        <f t="shared" si="0"/>
        <v>1748</v>
      </c>
      <c r="H41" s="19">
        <v>15</v>
      </c>
      <c r="I41" s="16">
        <f t="shared" si="1"/>
        <v>690</v>
      </c>
      <c r="L41" s="16"/>
      <c r="O41" s="16"/>
    </row>
    <row r="42" spans="1:20" ht="24" x14ac:dyDescent="0.35">
      <c r="A42" s="3">
        <v>40</v>
      </c>
      <c r="B42" s="4" t="s">
        <v>45</v>
      </c>
      <c r="C42" s="5" t="s">
        <v>2</v>
      </c>
      <c r="D42" s="5"/>
      <c r="E42" s="6">
        <v>38</v>
      </c>
      <c r="F42" s="8">
        <v>35.799999999999997</v>
      </c>
      <c r="G42" s="9">
        <f t="shared" si="0"/>
        <v>1360.3999999999999</v>
      </c>
      <c r="H42" s="19">
        <v>17</v>
      </c>
      <c r="I42" s="16">
        <f t="shared" si="1"/>
        <v>608.59999999999991</v>
      </c>
      <c r="L42" s="16"/>
      <c r="O42" s="16"/>
    </row>
    <row r="43" spans="1:20" ht="24" x14ac:dyDescent="0.35">
      <c r="A43" s="3">
        <v>41</v>
      </c>
      <c r="B43" s="4" t="s">
        <v>46</v>
      </c>
      <c r="C43" s="5" t="s">
        <v>2</v>
      </c>
      <c r="D43" s="5"/>
      <c r="E43" s="6">
        <v>38</v>
      </c>
      <c r="F43" s="8">
        <v>35.799999999999997</v>
      </c>
      <c r="G43" s="9">
        <f t="shared" si="0"/>
        <v>1360.3999999999999</v>
      </c>
      <c r="H43" s="19">
        <v>26</v>
      </c>
      <c r="I43" s="16">
        <f t="shared" si="1"/>
        <v>930.8</v>
      </c>
      <c r="L43" s="16"/>
      <c r="O43" s="16"/>
    </row>
    <row r="44" spans="1:20" ht="24" x14ac:dyDescent="0.35">
      <c r="A44" s="3">
        <v>42</v>
      </c>
      <c r="B44" s="7" t="s">
        <v>47</v>
      </c>
      <c r="C44" s="5" t="s">
        <v>2</v>
      </c>
      <c r="D44" s="5"/>
      <c r="E44" s="6">
        <v>38</v>
      </c>
      <c r="F44" s="11">
        <v>36.83</v>
      </c>
      <c r="G44" s="9">
        <f t="shared" si="0"/>
        <v>1399.54</v>
      </c>
      <c r="H44" s="19">
        <v>32</v>
      </c>
      <c r="I44" s="16">
        <f t="shared" si="1"/>
        <v>1178.56</v>
      </c>
      <c r="L44" s="16"/>
      <c r="O44" s="16"/>
    </row>
    <row r="45" spans="1:20" ht="78" customHeight="1" x14ac:dyDescent="0.35">
      <c r="A45" s="3">
        <v>43</v>
      </c>
      <c r="B45" s="13" t="s">
        <v>50</v>
      </c>
      <c r="C45" s="5" t="s">
        <v>2</v>
      </c>
      <c r="D45" s="5"/>
      <c r="E45" s="6">
        <v>3000</v>
      </c>
      <c r="F45" s="11">
        <v>10.16</v>
      </c>
      <c r="G45" s="9">
        <f t="shared" si="0"/>
        <v>30480</v>
      </c>
      <c r="H45" s="19">
        <v>900</v>
      </c>
      <c r="I45" s="16">
        <f t="shared" si="1"/>
        <v>9144</v>
      </c>
      <c r="L45" s="16"/>
      <c r="O45" s="16"/>
    </row>
    <row r="46" spans="1:20" ht="37.200000000000003" x14ac:dyDescent="0.35">
      <c r="A46" s="3">
        <v>44</v>
      </c>
      <c r="B46" s="13" t="s">
        <v>51</v>
      </c>
      <c r="C46" s="5" t="s">
        <v>2</v>
      </c>
      <c r="D46" s="5"/>
      <c r="E46" s="6">
        <v>1500</v>
      </c>
      <c r="F46" s="11">
        <v>7.47</v>
      </c>
      <c r="G46" s="9">
        <f t="shared" si="0"/>
        <v>11205</v>
      </c>
      <c r="H46" s="19">
        <v>600</v>
      </c>
      <c r="I46" s="16">
        <f t="shared" si="1"/>
        <v>4482</v>
      </c>
      <c r="L46" s="16"/>
      <c r="O46" s="16"/>
    </row>
    <row r="47" spans="1:20" ht="25.2" x14ac:dyDescent="0.35">
      <c r="A47" s="3">
        <v>45</v>
      </c>
      <c r="B47" s="13" t="s">
        <v>52</v>
      </c>
      <c r="C47" s="5" t="s">
        <v>2</v>
      </c>
      <c r="D47" s="5"/>
      <c r="E47" s="6">
        <v>15</v>
      </c>
      <c r="F47" s="11">
        <v>153.04</v>
      </c>
      <c r="G47" s="9">
        <f t="shared" si="0"/>
        <v>2295.6</v>
      </c>
      <c r="H47" s="19">
        <v>7</v>
      </c>
      <c r="I47" s="16">
        <f t="shared" si="1"/>
        <v>1071.28</v>
      </c>
      <c r="L47" s="16"/>
      <c r="O47" s="16"/>
    </row>
    <row r="48" spans="1:20" ht="26.4" customHeight="1" x14ac:dyDescent="0.35">
      <c r="A48" s="3">
        <v>46</v>
      </c>
      <c r="B48" s="13" t="s">
        <v>53</v>
      </c>
      <c r="C48" s="5" t="s">
        <v>2</v>
      </c>
      <c r="D48" s="5"/>
      <c r="E48" s="6">
        <v>15</v>
      </c>
      <c r="F48" s="11">
        <v>410.02</v>
      </c>
      <c r="G48" s="9">
        <f t="shared" si="0"/>
        <v>6150.2999999999993</v>
      </c>
      <c r="H48" s="19">
        <v>8</v>
      </c>
      <c r="I48" s="16">
        <f t="shared" si="1"/>
        <v>3280.16</v>
      </c>
      <c r="L48" s="16"/>
      <c r="O48" s="16"/>
    </row>
    <row r="49" spans="1:15" ht="25.2" x14ac:dyDescent="0.35">
      <c r="A49" s="3">
        <v>47</v>
      </c>
      <c r="B49" s="13" t="s">
        <v>54</v>
      </c>
      <c r="C49" s="5" t="s">
        <v>2</v>
      </c>
      <c r="D49" s="5"/>
      <c r="E49" s="6">
        <v>1500</v>
      </c>
      <c r="F49" s="11">
        <v>8.1999999999999993</v>
      </c>
      <c r="G49" s="9">
        <f t="shared" si="0"/>
        <v>12299.999999999998</v>
      </c>
      <c r="H49" s="19">
        <v>196</v>
      </c>
      <c r="I49" s="16">
        <f t="shared" si="1"/>
        <v>1607.1999999999998</v>
      </c>
      <c r="L49" s="16"/>
      <c r="O49" s="16"/>
    </row>
    <row r="50" spans="1:15" ht="37.200000000000003" x14ac:dyDescent="0.35">
      <c r="A50" s="3">
        <v>48</v>
      </c>
      <c r="B50" s="13" t="s">
        <v>55</v>
      </c>
      <c r="C50" s="5" t="s">
        <v>2</v>
      </c>
      <c r="D50" s="5"/>
      <c r="E50" s="6">
        <v>125</v>
      </c>
      <c r="F50" s="11">
        <v>5.1100000000000003</v>
      </c>
      <c r="G50" s="9">
        <f t="shared" si="0"/>
        <v>638.75</v>
      </c>
      <c r="H50" s="19">
        <v>20</v>
      </c>
      <c r="I50" s="16">
        <f t="shared" si="1"/>
        <v>102.2</v>
      </c>
      <c r="L50" s="16"/>
      <c r="O50" s="16"/>
    </row>
    <row r="51" spans="1:15" x14ac:dyDescent="0.35">
      <c r="A51" s="29" t="s">
        <v>49</v>
      </c>
      <c r="B51" s="30"/>
      <c r="C51" s="30"/>
      <c r="D51" s="30"/>
      <c r="E51" s="30"/>
      <c r="F51" s="31">
        <f>SUM(G3:G50)</f>
        <v>435075.01</v>
      </c>
      <c r="G51" s="32"/>
      <c r="I51" s="17">
        <f>SUM(I3:I50)</f>
        <v>145128.62000000002</v>
      </c>
      <c r="L51" s="17"/>
      <c r="O51" s="17"/>
    </row>
    <row r="53" spans="1:15" x14ac:dyDescent="0.35">
      <c r="B53" s="13"/>
    </row>
    <row r="54" spans="1:15" x14ac:dyDescent="0.35">
      <c r="B54" s="13"/>
    </row>
    <row r="55" spans="1:15" x14ac:dyDescent="0.35">
      <c r="B55" s="13"/>
      <c r="C55" s="23"/>
      <c r="E55" s="24"/>
    </row>
    <row r="56" spans="1:15" x14ac:dyDescent="0.35">
      <c r="B56" s="13"/>
    </row>
    <row r="57" spans="1:15" x14ac:dyDescent="0.35">
      <c r="B57" s="13"/>
    </row>
  </sheetData>
  <mergeCells count="4">
    <mergeCell ref="A51:E51"/>
    <mergeCell ref="F51:G51"/>
    <mergeCell ref="H1:I1"/>
    <mergeCell ref="K1:L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Cliente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Administrador</cp:lastModifiedBy>
  <cp:lastPrinted>2025-12-01T14:21:12Z</cp:lastPrinted>
  <dcterms:created xsi:type="dcterms:W3CDTF">2021-12-16T06:14:10Z</dcterms:created>
  <dcterms:modified xsi:type="dcterms:W3CDTF">2026-04-13T14:29:07Z</dcterms:modified>
</cp:coreProperties>
</file>